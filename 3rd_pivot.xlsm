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90" yWindow="360" windowWidth="12855" windowHeight="11715" tabRatio="864"/>
  </bookViews>
  <sheets>
    <sheet name="Prices" sheetId="14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</workbook>
</file>

<file path=xl/calcChain.xml><?xml version="1.0" encoding="utf-8"?>
<calcChain xmlns="http://schemas.openxmlformats.org/spreadsheetml/2006/main">
  <c r="AD2" i="14" l="1"/>
  <c r="AA2" i="14"/>
  <c r="J2" i="14"/>
  <c r="I2" i="14"/>
  <c r="H2" i="14"/>
  <c r="G2" i="14"/>
  <c r="F2" i="14"/>
  <c r="E2" i="14"/>
  <c r="D2" i="14"/>
  <c r="C2" i="14"/>
  <c r="B2" i="14"/>
  <c r="A2" i="14"/>
  <c r="AE2" i="14"/>
  <c r="AC2" i="14"/>
  <c r="AB2" i="14"/>
  <c r="Z2" i="14"/>
  <c r="Y2" i="14"/>
  <c r="U2" i="14"/>
  <c r="T2" i="14"/>
  <c r="S2" i="14"/>
  <c r="R2" i="14"/>
  <c r="Q2" i="14"/>
  <c r="X2" i="14"/>
  <c r="O2" i="14"/>
  <c r="N2" i="14"/>
  <c r="K2" i="14"/>
  <c r="L2" i="14"/>
  <c r="P2" i="14"/>
  <c r="W2" i="14"/>
  <c r="AF2" i="14"/>
  <c r="V2" i="14"/>
  <c r="M2" i="14"/>
</calcChain>
</file>

<file path=xl/sharedStrings.xml><?xml version="1.0" encoding="utf-8"?>
<sst xmlns="http://schemas.openxmlformats.org/spreadsheetml/2006/main" count="32" uniqueCount="32">
  <si>
    <t>NQ</t>
  </si>
  <si>
    <t>YM</t>
  </si>
  <si>
    <t>ES</t>
  </si>
  <si>
    <t>NH</t>
  </si>
  <si>
    <t>EC</t>
  </si>
  <si>
    <t>BP</t>
  </si>
  <si>
    <t>JY</t>
  </si>
  <si>
    <t>AD</t>
  </si>
  <si>
    <t>CD</t>
  </si>
  <si>
    <t>SF</t>
  </si>
  <si>
    <t>NG</t>
  </si>
  <si>
    <t>CL</t>
  </si>
  <si>
    <t>SI</t>
  </si>
  <si>
    <t>HG</t>
  </si>
  <si>
    <t>GC</t>
  </si>
  <si>
    <t>TU</t>
  </si>
  <si>
    <t>FV</t>
  </si>
  <si>
    <t>TY</t>
  </si>
  <si>
    <t>US</t>
  </si>
  <si>
    <t>WN</t>
  </si>
  <si>
    <t>RX</t>
  </si>
  <si>
    <t>UB</t>
  </si>
  <si>
    <t>GX</t>
  </si>
  <si>
    <t>OAT</t>
  </si>
  <si>
    <t>VG</t>
  </si>
  <si>
    <t>G</t>
  </si>
  <si>
    <t>Z</t>
  </si>
  <si>
    <t>RBOB</t>
  </si>
  <si>
    <t>C</t>
  </si>
  <si>
    <t>S</t>
  </si>
  <si>
    <t>W</t>
  </si>
  <si>
    <t>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</si>
</sst>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0" xfId="0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xtapi.rtd">
      <tp>
        <v>7299</v>
        <stp/>
        <stp>Instr</stp>
        <stp>ICE_IPE-S</stp>
        <stp>Z</stp>
        <stp>FUTURE</stp>
        <stp>Sep17</stp>
        <stp>BID#</stp>
        <tr r="AF2" s="14"/>
      </tp>
      <tp>
        <v>249425</v>
        <stp/>
        <stp>Instr</stp>
        <stp>CME-A</stp>
        <stp>ES</stp>
        <stp>FUTURE</stp>
        <stp>Dec17</stp>
        <stp>BID#</stp>
        <tr r="A2" s="14"/>
      </tp>
      <tp>
        <v>10413</v>
        <stp/>
        <stp>Instr</stp>
        <stp>CME-A</stp>
        <stp>6S</stp>
        <stp>FUTURE</stp>
        <stp>Dec17</stp>
        <stp>BID#</stp>
        <tr r="J2" s="14"/>
      </tp>
      <tp>
        <v>9.7750000000000004</v>
        <stp/>
        <stp>Instr</stp>
        <stp>CME-R</stp>
        <stp>ZS</stp>
        <stp>FUTURE</stp>
        <stp>Nov17</stp>
        <stp>BID#</stp>
        <tr r="W2" s="14"/>
      </tp>
      <tp>
        <v>599650</v>
        <stp/>
        <stp>Instr</stp>
        <stp>CME-A</stp>
        <stp>NQ</stp>
        <stp>FUTURE</stp>
        <stp>Dec17</stp>
        <stp>BID#</stp>
        <tr r="B2" s="14"/>
      </tp>
      <tp>
        <v>125.26</v>
        <stp/>
        <stp>Instr</stp>
        <stp>ICE_IPE-S</stp>
        <stp>R</stp>
        <stp>FUTURE</stp>
        <stp>Dec17</stp>
        <stp>BID#</stp>
        <tr r="AE2" s="14"/>
      </tp>
      <tp>
        <v>4.45</v>
        <stp/>
        <stp>Instr</stp>
        <stp>CME-R</stp>
        <stp>ZW</stp>
        <stp>FUTURE</stp>
        <stp>Dec17</stp>
        <stp>BID#</stp>
        <tr r="X2" s="14"/>
      </tp>
      <tp>
        <v>108.0703125</v>
        <stp/>
        <stp>Instr</stp>
        <stp>CME-R</stp>
        <stp>ZT</stp>
        <stp>FUTURE</stp>
        <stp>Dec17</stp>
        <stp>BID#</stp>
        <tr r="Q2" s="14"/>
      </tp>
      <tp>
        <v>9076</v>
        <stp/>
        <stp>Instr</stp>
        <stp>CME-A</stp>
        <stp>6J</stp>
        <stp>FUTURE</stp>
        <stp>Dec17</stp>
        <stp>BID#</stp>
        <tr r="G2" s="14"/>
      </tp>
      <tp>
        <v>17785</v>
        <stp/>
        <stp>Instr</stp>
        <stp>CME-P</stp>
        <stp>SI</stp>
        <stp>FUTURE</stp>
        <stp>Dec17</stp>
        <stp>BID#</stp>
        <tr r="N2" s="14"/>
      </tp>
      <tp>
        <v>126.4375</v>
        <stp/>
        <stp>Instr</stp>
        <stp>CME-R</stp>
        <stp>ZN</stp>
        <stp>FUTURE</stp>
        <stp>Dec17</stp>
        <stp>BID#</stp>
        <tr r="S2" s="14"/>
      </tp>
      <tp>
        <v>5014</v>
        <stp/>
        <stp>Instr</stp>
        <stp>CME-P</stp>
        <stp>CL</stp>
        <stp>FUTURE</stp>
        <stp>Oct17</stp>
        <stp>BID#</stp>
        <tr r="L2" s="14"/>
      </tp>
      <tp>
        <v>22136</v>
        <stp/>
        <stp>Instr</stp>
        <stp>CME-A</stp>
        <stp>YM</stp>
        <stp>FUTURE</stp>
        <stp>Dec17</stp>
        <stp>BID#</stp>
        <tr r="C2" s="14"/>
      </tp>
      <tp>
        <v>13432</v>
        <stp/>
        <stp>Instr</stp>
        <stp>CME-A</stp>
        <stp>6B</stp>
        <stp>FUTURE</stp>
        <stp>Dec17</stp>
        <stp>BID#</stp>
        <tr r="F2" s="14"/>
      </tp>
      <tp>
        <v>16379</v>
        <stp/>
        <stp>Instr</stp>
        <stp>CME-P</stp>
        <stp>RB</stp>
        <stp>FUTURE</stp>
        <stp>Oct17</stp>
        <stp>BID#</stp>
        <tr r="M2" s="14"/>
      </tp>
      <tp>
        <v>167.40625</v>
        <stp/>
        <stp>Instr</stp>
        <stp>CME-R</stp>
        <stp>UB</stp>
        <stp>FUTURE</stp>
        <stp>Dec17</stp>
        <stp>BID#</stp>
        <tr r="U2" s="14"/>
      </tp>
      <tp>
        <v>155</v>
        <stp/>
        <stp>Instr</stp>
        <stp>CME-R</stp>
        <stp>ZB</stp>
        <stp>FUTURE</stp>
        <stp>Dec17</stp>
        <stp>BID#</stp>
        <tr r="T2" s="14"/>
      </tp>
      <tp>
        <v>8203.5</v>
        <stp/>
        <stp>Instr</stp>
        <stp>CME-A</stp>
        <stp>6C</stp>
        <stp>FUTURE</stp>
        <stp>Dec17</stp>
        <stp>BID#</stp>
        <tr r="I2" s="14"/>
      </tp>
      <tp>
        <v>3.5425</v>
        <stp/>
        <stp>Instr</stp>
        <stp>CME-R</stp>
        <stp>ZC</stp>
        <stp>FUTURE</stp>
        <stp>Dec17</stp>
        <stp>BID#</stp>
        <tr r="V2" s="14"/>
      </tp>
      <tp>
        <v>13296</v>
        <stp/>
        <stp>Instr</stp>
        <stp>CME-P</stp>
        <stp>GC</stp>
        <stp>FUTURE</stp>
        <stp>Dec17</stp>
        <stp>BID#</stp>
        <tr r="P2" s="14"/>
      </tp>
      <tp>
        <v>19740</v>
        <stp/>
        <stp>Instr</stp>
        <stp>CME-A</stp>
        <stp>NIY</stp>
        <stp>FUTURE</stp>
        <stp>Dec17</stp>
        <stp>BID#</stp>
        <tr r="D2" s="14"/>
      </tp>
      <tp>
        <v>7972</v>
        <stp/>
        <stp>Instr</stp>
        <stp>CME-A</stp>
        <stp>6A</stp>
        <stp>FUTURE</stp>
        <stp>Dec17</stp>
        <stp>BID#</stp>
        <tr r="H2" s="14"/>
      </tp>
      <tp>
        <v>118.140625</v>
        <stp/>
        <stp>Instr</stp>
        <stp>CME-R</stp>
        <stp>ZF</stp>
        <stp>FUTURE</stp>
        <stp>Dec17</stp>
        <stp>BID#</stp>
        <tr r="R2" s="14"/>
      </tp>
      <tp>
        <v>3100</v>
        <stp/>
        <stp>Instr</stp>
        <stp>CME-P</stp>
        <stp>NG</stp>
        <stp>FUTURE</stp>
        <stp>Oct17</stp>
        <stp>BID#</stp>
        <tr r="K2" s="14"/>
      </tp>
      <tp>
        <v>29575</v>
        <stp/>
        <stp>Instr</stp>
        <stp>CME-P</stp>
        <stp>HG</stp>
        <stp>FUTURE</stp>
        <stp>Dec17</stp>
        <stp>BID#</stp>
        <tr r="O2" s="14"/>
      </tp>
      <tp>
        <v>11943.5</v>
        <stp/>
        <stp>Instr</stp>
        <stp>CME-A</stp>
        <stp>6E</stp>
        <stp>FUTURE</stp>
        <stp>Dec17</stp>
        <stp>BID#</stp>
        <tr r="E2" s="14"/>
      </tp>
      <tp>
        <v>3511</v>
        <stp/>
        <stp>Instr</stp>
        <stp>Eurex</stp>
        <stp>FESX</stp>
        <stp>FUTURE</stp>
        <stp>Dec17</stp>
        <stp>BID#</stp>
        <tr r="AD2" s="14"/>
      </tp>
      <tp>
        <v>12526</v>
        <stp/>
        <stp>Instr</stp>
        <stp>Eurex</stp>
        <stp>FDAX</stp>
        <stp>FUTURE</stp>
        <stp>Dec17</stp>
        <stp>BID#</stp>
        <tr r="AA2" s="14"/>
      </tp>
      <tp>
        <v>164.08</v>
        <stp/>
        <stp>Instr</stp>
        <stp>Eurex</stp>
        <stp>FGBX</stp>
        <stp>FUTURE</stp>
        <stp>Dec17</stp>
        <stp>BID#</stp>
        <tr r="Z2" s="14"/>
      </tp>
      <tp>
        <v>135.49</v>
        <stp/>
        <stp>Instr</stp>
        <stp>Eurex</stp>
        <stp>FBTP</stp>
        <stp>FUTURE</stp>
        <stp>Dec17</stp>
        <stp>BID#</stp>
        <tr r="AB2" s="14"/>
      </tp>
      <tp>
        <v>155.77000000000001</v>
        <stp/>
        <stp>Instr</stp>
        <stp>Eurex</stp>
        <stp>FOAT</stp>
        <stp>FUTURE</stp>
        <stp>Dec17</stp>
        <stp>BID#</stp>
        <tr r="AC2" s="14"/>
      </tp>
      <tp>
        <v>161.65</v>
        <stp/>
        <stp>Instr</stp>
        <stp>Eurex</stp>
        <stp>FGBL</stp>
        <stp>FUTURE</stp>
        <stp>Dec17</stp>
        <stp>BID#</stp>
        <tr r="Y2" s="14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3</xdr:row>
          <xdr:rowOff>180975</xdr:rowOff>
        </xdr:from>
        <xdr:to>
          <xdr:col>4</xdr:col>
          <xdr:colOff>466725</xdr:colOff>
          <xdr:row>10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3"/>
  <sheetViews>
    <sheetView tabSelected="1" workbookViewId="0">
      <selection activeCell="Q9" sqref="Q9"/>
    </sheetView>
  </sheetViews>
  <sheetFormatPr defaultColWidth="15.42578125" defaultRowHeight="15" x14ac:dyDescent="0.25"/>
  <cols>
    <col min="1" max="2" width="9.5703125" bestFit="1" customWidth="1"/>
    <col min="3" max="6" width="8.5703125" bestFit="1" customWidth="1"/>
    <col min="7" max="9" width="7.5703125" bestFit="1" customWidth="1"/>
    <col min="10" max="10" width="8.5703125" bestFit="1" customWidth="1"/>
    <col min="11" max="12" width="5.5703125" bestFit="1" customWidth="1"/>
    <col min="13" max="16" width="6" bestFit="1" customWidth="1"/>
    <col min="17" max="17" width="11" bestFit="1" customWidth="1"/>
    <col min="18" max="18" width="11.5703125" bestFit="1" customWidth="1"/>
    <col min="19" max="19" width="10.5703125" bestFit="1" customWidth="1"/>
    <col min="20" max="20" width="9" bestFit="1" customWidth="1"/>
    <col min="21" max="21" width="10" bestFit="1" customWidth="1"/>
    <col min="22" max="22" width="5" bestFit="1" customWidth="1"/>
    <col min="23" max="24" width="7" bestFit="1" customWidth="1"/>
    <col min="25" max="26" width="9.5703125" bestFit="1" customWidth="1"/>
    <col min="27" max="27" width="11.5703125" bestFit="1" customWidth="1"/>
    <col min="28" max="29" width="9.5703125" bestFit="1" customWidth="1"/>
    <col min="30" max="30" width="10.5703125" bestFit="1" customWidth="1"/>
    <col min="31" max="31" width="9.5703125" bestFit="1" customWidth="1"/>
    <col min="32" max="32" width="10.5703125" bestFit="1" customWidth="1"/>
  </cols>
  <sheetData>
    <row r="1" spans="1:32" s="4" customFormat="1" x14ac:dyDescent="0.25">
      <c r="A1" s="4" t="s">
        <v>2</v>
      </c>
      <c r="B1" s="4" t="s">
        <v>0</v>
      </c>
      <c r="C1" s="4" t="s">
        <v>1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27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28</v>
      </c>
      <c r="W1" s="4" t="s">
        <v>29</v>
      </c>
      <c r="X1" s="4" t="s">
        <v>30</v>
      </c>
      <c r="Y1" s="4" t="s">
        <v>20</v>
      </c>
      <c r="Z1" s="4" t="s">
        <v>21</v>
      </c>
      <c r="AA1" s="4" t="s">
        <v>22</v>
      </c>
      <c r="AB1" s="4" t="s">
        <v>31</v>
      </c>
      <c r="AC1" s="4" t="s">
        <v>23</v>
      </c>
      <c r="AD1" s="4" t="s">
        <v>24</v>
      </c>
      <c r="AE1" s="4" t="s">
        <v>25</v>
      </c>
      <c r="AF1" s="4" t="s">
        <v>26</v>
      </c>
    </row>
    <row r="2" spans="1:32" x14ac:dyDescent="0.25">
      <c r="A2" s="1">
        <f>RTD("xtapi.rtd","","Instr","CME-A","ES","FUTURE","Dec17","BID#")</f>
        <v>249425</v>
      </c>
      <c r="B2" s="1">
        <f>RTD("xtapi.rtd","","Instr","CME-A","NQ","FUTURE","Dec17","BID#")</f>
        <v>599650</v>
      </c>
      <c r="C2" s="1">
        <f>RTD("xtapi.rtd","","Instr","CME-A","YM","FUTURE","Dec17","BID#")</f>
        <v>22136</v>
      </c>
      <c r="D2" s="1">
        <f>RTD("xtapi.rtd","","Instr","CME-A","NIY","FUTURE","Dec17","BID#")</f>
        <v>19740</v>
      </c>
      <c r="E2" s="1">
        <f>RTD("xtapi.rtd","","Instr","CME-A","6E","FUTURE","Dec17","BID#")</f>
        <v>11943.5</v>
      </c>
      <c r="F2" s="1">
        <f>RTD("xtapi.rtd","","Instr","CME-A","6B","FUTURE","Dec17","BID#")</f>
        <v>13432</v>
      </c>
      <c r="G2" s="1">
        <f>RTD("xtapi.rtd","","Instr","CME-A","6J","FUTURE","Dec17","BID#")</f>
        <v>9076</v>
      </c>
      <c r="H2" s="1">
        <f>RTD("xtapi.rtd","","Instr","CME-A","6A","FUTURE","Dec17","BID#")</f>
        <v>7972</v>
      </c>
      <c r="I2" s="1">
        <f>RTD("xtapi.rtd","","Instr","CME-A","6C","FUTURE","Dec17","BID#")</f>
        <v>8203.5</v>
      </c>
      <c r="J2" s="1">
        <f>RTD("xtapi.rtd","","Instr","CME-A","6S","FUTURE","Dec17","BID#")</f>
        <v>10413</v>
      </c>
      <c r="K2" s="3">
        <f>RTD("xtapi.rtd","","Instr","CME-P","NG","FUTURE","Oct17","BID#")</f>
        <v>3100</v>
      </c>
      <c r="L2" s="3">
        <f>RTD("xtapi.rtd","","Instr","CME-P","CL","FUTURE","Oct17","BID#")</f>
        <v>5014</v>
      </c>
      <c r="M2" s="4">
        <f>RTD("xtapi.rtd","","Instr","CME-P","RB","FUTURE","Oct17","BID#")</f>
        <v>16379</v>
      </c>
      <c r="N2" s="4">
        <f>RTD("xtapi.rtd","","Instr","CME-P","SI","FUTURE","Dec17","BID#")</f>
        <v>17785</v>
      </c>
      <c r="O2" s="4">
        <f>RTD("xtapi.rtd","","Instr","CME-P","HG","FUTURE","Dec17","BID#")</f>
        <v>29575</v>
      </c>
      <c r="P2" s="4">
        <f>RTD("xtapi.rtd","","Instr","CME-P","GC","FUTURE","Dec17","BID#")</f>
        <v>13296</v>
      </c>
      <c r="Q2" s="4">
        <f>RTD("xtapi.rtd","","Instr","CME-R","ZT","FUTURE","Dec17","BID#")</f>
        <v>108.0703125</v>
      </c>
      <c r="R2" s="6">
        <f>RTD("xtapi.rtd","","Instr","CME-R","ZF","FUTURE","Dec17","BID#")</f>
        <v>118.140625</v>
      </c>
      <c r="S2" s="5">
        <f>RTD("xtapi.rtd","","Instr","CME-R","ZN","FUTURE","Dec17","BID#")</f>
        <v>126.4375</v>
      </c>
      <c r="T2" s="4">
        <f>RTD("xtapi.rtd","","Instr","CME-R","ZB","FUTURE","Dec17","BID#")</f>
        <v>155</v>
      </c>
      <c r="U2" s="4">
        <f>RTD("xtapi.rtd","","Instr","CME-R","UB","FUTURE","Dec17","BID#")</f>
        <v>167.40625</v>
      </c>
      <c r="V2" s="4">
        <f>RTD("xtapi.rtd","","Instr","CME-R","ZC","FUTURE","Dec17","BID#")</f>
        <v>3.5425</v>
      </c>
      <c r="W2" s="4">
        <f>RTD("xtapi.rtd","","Instr","CME-R","ZS","FUTURE","Nov17","BID#")</f>
        <v>9.7750000000000004</v>
      </c>
      <c r="X2" s="4">
        <f>RTD("xtapi.rtd","","Instr","CME-R","ZW","FUTURE","Dec17","BID#")</f>
        <v>4.45</v>
      </c>
      <c r="Y2" s="2">
        <f>RTD("xtapi.rtd","","Instr","Eurex","FGBL","FUTURE","Dec17","BID#")</f>
        <v>161.65</v>
      </c>
      <c r="Z2" s="2">
        <f>RTD("xtapi.rtd","","Instr","Eurex","FGBX","FUTURE","Dec17","BID#")</f>
        <v>164.08</v>
      </c>
      <c r="AA2" s="2">
        <f>RTD("xtapi.rtd","","Instr","Eurex","FDAX","FUTURE","Dec17","BID#")</f>
        <v>12526</v>
      </c>
      <c r="AB2" s="2">
        <f>RTD("xtapi.rtd","","Instr","Eurex","FBTP","FUTURE","Dec17","BID#")</f>
        <v>135.49</v>
      </c>
      <c r="AC2" s="2">
        <f>RTD("xtapi.rtd","","Instr","Eurex","FOAT","FUTURE","Dec17","BID#")</f>
        <v>155.77000000000001</v>
      </c>
      <c r="AD2" s="2">
        <f>RTD("xtapi.rtd","","Instr","Eurex","FESX","FUTURE","Dec17","BID#")</f>
        <v>3511</v>
      </c>
      <c r="AE2" s="2">
        <f>RTD("xtapi.rtd","","Instr","ICE_IPE-S","R","FUTURE","Dec17","BID#")</f>
        <v>125.26</v>
      </c>
      <c r="AF2" s="2">
        <f>RTD("xtapi.rtd","","Instr","ICE_IPE-S","Z","FUTURE","Sep17","BID#")</f>
        <v>7299</v>
      </c>
    </row>
    <row r="3" spans="1:32" x14ac:dyDescent="0.25">
      <c r="A3" s="1"/>
      <c r="B3" s="1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Prices">
                <anchor moveWithCells="1" sizeWithCells="1">
                  <from>
                    <xdr:col>0</xdr:col>
                    <xdr:colOff>628650</xdr:colOff>
                    <xdr:row>3</xdr:row>
                    <xdr:rowOff>180975</xdr:rowOff>
                  </from>
                  <to>
                    <xdr:col>4</xdr:col>
                    <xdr:colOff>466725</xdr:colOff>
                    <xdr:row>10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Prices</vt:lpstr>
    </vt:vector>
  </TitlesOfParts>
  <Company>Trading Technologies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thandziuk</dc:creator>
  <cp:lastModifiedBy>Taras Handziuk</cp:lastModifiedBy>
  <dcterms:created xsi:type="dcterms:W3CDTF">2015-04-15T17:06:44Z</dcterms:created>
  <dcterms:modified xsi:type="dcterms:W3CDTF">2017-09-14T15:39:17Z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207f33bd-4d32-446e-8387-d08f8ac688bf</vt:lpwstr>
  </property>
</Properties>
</file>